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o_Comidas" sheetId="1" r:id="rId1"/>
    <sheet name="Gastos_Generales" sheetId="2" r:id="rId2"/>
    <sheet name="Resumen_Final" sheetId="3" r:id="rId3"/>
  </sheets>
  <calcPr calcId="124519" fullCalcOnLoad="1"/>
</workbook>
</file>

<file path=xl/sharedStrings.xml><?xml version="1.0" encoding="utf-8"?>
<sst xmlns="http://schemas.openxmlformats.org/spreadsheetml/2006/main" count="178" uniqueCount="27">
  <si>
    <t>Fecha</t>
  </si>
  <si>
    <t>Plato / Descripción</t>
  </si>
  <si>
    <t>Costo Total</t>
  </si>
  <si>
    <t>Pagado Por</t>
  </si>
  <si>
    <t>Porciones Totales</t>
  </si>
  <si>
    <t>Costo x Porción</t>
  </si>
  <si>
    <t>¿Dividir Igualitario?</t>
  </si>
  <si>
    <t>Porciones Juano</t>
  </si>
  <si>
    <t>Porciones Alberto</t>
  </si>
  <si>
    <t>Porciones Mitchel</t>
  </si>
  <si>
    <t>CONSUMO Juano</t>
  </si>
  <si>
    <t>CONSUMO Alberto</t>
  </si>
  <si>
    <t>CONSUMO Mitchel</t>
  </si>
  <si>
    <t>Juano</t>
  </si>
  <si>
    <t>No</t>
  </si>
  <si>
    <t>Concepto</t>
  </si>
  <si>
    <t>Monto Total</t>
  </si>
  <si>
    <t>Consumo Juano</t>
  </si>
  <si>
    <t>Consumo Alberto</t>
  </si>
  <si>
    <t>Consumo Mitchel</t>
  </si>
  <si>
    <t>Alberto</t>
  </si>
  <si>
    <t>Persona</t>
  </si>
  <si>
    <t>Total Consumido
(Lo que usó)</t>
  </si>
  <si>
    <t>Total Pagado
(Lo que puso)</t>
  </si>
  <si>
    <t>BALANCE FINAL
(A pagar / A recibir)</t>
  </si>
  <si>
    <t>Mitchel</t>
  </si>
  <si>
    <t>ESTADO DE CUENTA DE LA CASA</t>
  </si>
</sst>
</file>

<file path=xl/styles.xml><?xml version="1.0" encoding="utf-8"?>
<styleSheet xmlns="http://schemas.openxmlformats.org/spreadsheetml/2006/main">
  <numFmts count="1">
    <numFmt numFmtId="164" formatCode="$ 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64" fontId="0" fillId="0" borderId="1" xfId="0" applyNumberFormat="1" applyBorder="1"/>
    <xf numFmtId="0" fontId="1" fillId="0" borderId="1" xfId="0" applyFont="1" applyBorder="1"/>
  </cellXfs>
  <cellStyles count="1">
    <cellStyle name="Normal" xfId="0" builtinId="0"/>
  </cellStyles>
  <dxfs count="2">
    <dxf>
      <font>
        <b/>
        <color rgb="FF9C0006"/>
      </font>
      <numFmt numFmtId="164" formatCode="$ #,##0"/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006100"/>
      </font>
      <numFmt numFmtId="164" formatCode="$ #,##0"/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1"/>
  <sheetViews>
    <sheetView tabSelected="1" workbookViewId="0"/>
  </sheetViews>
  <sheetFormatPr defaultRowHeight="15"/>
  <cols>
    <col min="2" max="2" width="25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/>
      <c r="B2" s="2"/>
      <c r="C2" s="3"/>
      <c r="D2" s="2" t="s">
        <v>13</v>
      </c>
      <c r="E2" s="2"/>
      <c r="F2" s="3">
        <f>IF(E2&gt;0, C2/E2, 0)</f>
        <v>0</v>
      </c>
      <c r="G2" s="2" t="s">
        <v>14</v>
      </c>
      <c r="H2" s="2">
        <v>0</v>
      </c>
      <c r="I2" s="2">
        <v>0</v>
      </c>
      <c r="J2" s="2">
        <v>0</v>
      </c>
      <c r="K2" s="3">
        <f>IF(G2="Sí", C2/3, F2*H2)</f>
        <v>0</v>
      </c>
      <c r="L2" s="3">
        <f>IF(G2="Sí", C2/3, F2*I2)</f>
        <v>0</v>
      </c>
      <c r="M2" s="3">
        <f>IF(G2="Sí", C2/3, F2*J2)</f>
        <v>0</v>
      </c>
    </row>
    <row r="3" spans="1:13">
      <c r="A3" s="2"/>
      <c r="B3" s="2"/>
      <c r="C3" s="3"/>
      <c r="D3" s="2" t="s">
        <v>13</v>
      </c>
      <c r="E3" s="2"/>
      <c r="F3" s="3">
        <f>IF(E3&gt;0, C3/E3, 0)</f>
        <v>0</v>
      </c>
      <c r="G3" s="2" t="s">
        <v>14</v>
      </c>
      <c r="H3" s="2">
        <v>0</v>
      </c>
      <c r="I3" s="2">
        <v>0</v>
      </c>
      <c r="J3" s="2">
        <v>0</v>
      </c>
      <c r="K3" s="3">
        <f>IF(G3="Sí", C3/3, F3*H3)</f>
        <v>0</v>
      </c>
      <c r="L3" s="3">
        <f>IF(G3="Sí", C3/3, F3*I3)</f>
        <v>0</v>
      </c>
      <c r="M3" s="3">
        <f>IF(G3="Sí", C3/3, F3*J3)</f>
        <v>0</v>
      </c>
    </row>
    <row r="4" spans="1:13">
      <c r="A4" s="2"/>
      <c r="B4" s="2"/>
      <c r="C4" s="3"/>
      <c r="D4" s="2" t="s">
        <v>13</v>
      </c>
      <c r="E4" s="2"/>
      <c r="F4" s="3">
        <f>IF(E4&gt;0, C4/E4, 0)</f>
        <v>0</v>
      </c>
      <c r="G4" s="2" t="s">
        <v>14</v>
      </c>
      <c r="H4" s="2">
        <v>0</v>
      </c>
      <c r="I4" s="2">
        <v>0</v>
      </c>
      <c r="J4" s="2">
        <v>0</v>
      </c>
      <c r="K4" s="3">
        <f>IF(G4="Sí", C4/3, F4*H4)</f>
        <v>0</v>
      </c>
      <c r="L4" s="3">
        <f>IF(G4="Sí", C4/3, F4*I4)</f>
        <v>0</v>
      </c>
      <c r="M4" s="3">
        <f>IF(G4="Sí", C4/3, F4*J4)</f>
        <v>0</v>
      </c>
    </row>
    <row r="5" spans="1:13">
      <c r="A5" s="2"/>
      <c r="B5" s="2"/>
      <c r="C5" s="3"/>
      <c r="D5" s="2" t="s">
        <v>13</v>
      </c>
      <c r="E5" s="2"/>
      <c r="F5" s="3">
        <f>IF(E5&gt;0, C5/E5, 0)</f>
        <v>0</v>
      </c>
      <c r="G5" s="2" t="s">
        <v>14</v>
      </c>
      <c r="H5" s="2">
        <v>0</v>
      </c>
      <c r="I5" s="2">
        <v>0</v>
      </c>
      <c r="J5" s="2">
        <v>0</v>
      </c>
      <c r="K5" s="3">
        <f>IF(G5="Sí", C5/3, F5*H5)</f>
        <v>0</v>
      </c>
      <c r="L5" s="3">
        <f>IF(G5="Sí", C5/3, F5*I5)</f>
        <v>0</v>
      </c>
      <c r="M5" s="3">
        <f>IF(G5="Sí", C5/3, F5*J5)</f>
        <v>0</v>
      </c>
    </row>
    <row r="6" spans="1:13">
      <c r="A6" s="2"/>
      <c r="B6" s="2"/>
      <c r="C6" s="3"/>
      <c r="D6" s="2" t="s">
        <v>13</v>
      </c>
      <c r="E6" s="2"/>
      <c r="F6" s="3">
        <f>IF(E6&gt;0, C6/E6, 0)</f>
        <v>0</v>
      </c>
      <c r="G6" s="2" t="s">
        <v>14</v>
      </c>
      <c r="H6" s="2">
        <v>0</v>
      </c>
      <c r="I6" s="2">
        <v>0</v>
      </c>
      <c r="J6" s="2">
        <v>0</v>
      </c>
      <c r="K6" s="3">
        <f>IF(G6="Sí", C6/3, F6*H6)</f>
        <v>0</v>
      </c>
      <c r="L6" s="3">
        <f>IF(G6="Sí", C6/3, F6*I6)</f>
        <v>0</v>
      </c>
      <c r="M6" s="3">
        <f>IF(G6="Sí", C6/3, F6*J6)</f>
        <v>0</v>
      </c>
    </row>
    <row r="7" spans="1:13">
      <c r="A7" s="2"/>
      <c r="B7" s="2"/>
      <c r="C7" s="3"/>
      <c r="D7" s="2" t="s">
        <v>13</v>
      </c>
      <c r="E7" s="2"/>
      <c r="F7" s="3">
        <f>IF(E7&gt;0, C7/E7, 0)</f>
        <v>0</v>
      </c>
      <c r="G7" s="2" t="s">
        <v>14</v>
      </c>
      <c r="H7" s="2">
        <v>0</v>
      </c>
      <c r="I7" s="2">
        <v>0</v>
      </c>
      <c r="J7" s="2">
        <v>0</v>
      </c>
      <c r="K7" s="3">
        <f>IF(G7="Sí", C7/3, F7*H7)</f>
        <v>0</v>
      </c>
      <c r="L7" s="3">
        <f>IF(G7="Sí", C7/3, F7*I7)</f>
        <v>0</v>
      </c>
      <c r="M7" s="3">
        <f>IF(G7="Sí", C7/3, F7*J7)</f>
        <v>0</v>
      </c>
    </row>
    <row r="8" spans="1:13">
      <c r="A8" s="2"/>
      <c r="B8" s="2"/>
      <c r="C8" s="3"/>
      <c r="D8" s="2" t="s">
        <v>13</v>
      </c>
      <c r="E8" s="2"/>
      <c r="F8" s="3">
        <f>IF(E8&gt;0, C8/E8, 0)</f>
        <v>0</v>
      </c>
      <c r="G8" s="2" t="s">
        <v>14</v>
      </c>
      <c r="H8" s="2">
        <v>0</v>
      </c>
      <c r="I8" s="2">
        <v>0</v>
      </c>
      <c r="J8" s="2">
        <v>0</v>
      </c>
      <c r="K8" s="3">
        <f>IF(G8="Sí", C8/3, F8*H8)</f>
        <v>0</v>
      </c>
      <c r="L8" s="3">
        <f>IF(G8="Sí", C8/3, F8*I8)</f>
        <v>0</v>
      </c>
      <c r="M8" s="3">
        <f>IF(G8="Sí", C8/3, F8*J8)</f>
        <v>0</v>
      </c>
    </row>
    <row r="9" spans="1:13">
      <c r="A9" s="2"/>
      <c r="B9" s="2"/>
      <c r="C9" s="3"/>
      <c r="D9" s="2" t="s">
        <v>13</v>
      </c>
      <c r="E9" s="2"/>
      <c r="F9" s="3">
        <f>IF(E9&gt;0, C9/E9, 0)</f>
        <v>0</v>
      </c>
      <c r="G9" s="2" t="s">
        <v>14</v>
      </c>
      <c r="H9" s="2">
        <v>0</v>
      </c>
      <c r="I9" s="2">
        <v>0</v>
      </c>
      <c r="J9" s="2">
        <v>0</v>
      </c>
      <c r="K9" s="3">
        <f>IF(G9="Sí", C9/3, F9*H9)</f>
        <v>0</v>
      </c>
      <c r="L9" s="3">
        <f>IF(G9="Sí", C9/3, F9*I9)</f>
        <v>0</v>
      </c>
      <c r="M9" s="3">
        <f>IF(G9="Sí", C9/3, F9*J9)</f>
        <v>0</v>
      </c>
    </row>
    <row r="10" spans="1:13">
      <c r="A10" s="2"/>
      <c r="B10" s="2"/>
      <c r="C10" s="3"/>
      <c r="D10" s="2" t="s">
        <v>13</v>
      </c>
      <c r="E10" s="2"/>
      <c r="F10" s="3">
        <f>IF(E10&gt;0, C10/E10, 0)</f>
        <v>0</v>
      </c>
      <c r="G10" s="2" t="s">
        <v>14</v>
      </c>
      <c r="H10" s="2">
        <v>0</v>
      </c>
      <c r="I10" s="2">
        <v>0</v>
      </c>
      <c r="J10" s="2">
        <v>0</v>
      </c>
      <c r="K10" s="3">
        <f>IF(G10="Sí", C10/3, F10*H10)</f>
        <v>0</v>
      </c>
      <c r="L10" s="3">
        <f>IF(G10="Sí", C10/3, F10*I10)</f>
        <v>0</v>
      </c>
      <c r="M10" s="3">
        <f>IF(G10="Sí", C10/3, F10*J10)</f>
        <v>0</v>
      </c>
    </row>
    <row r="11" spans="1:13">
      <c r="A11" s="2"/>
      <c r="B11" s="2"/>
      <c r="C11" s="3"/>
      <c r="D11" s="2" t="s">
        <v>13</v>
      </c>
      <c r="E11" s="2"/>
      <c r="F11" s="3">
        <f>IF(E11&gt;0, C11/E11, 0)</f>
        <v>0</v>
      </c>
      <c r="G11" s="2" t="s">
        <v>14</v>
      </c>
      <c r="H11" s="2">
        <v>0</v>
      </c>
      <c r="I11" s="2">
        <v>0</v>
      </c>
      <c r="J11" s="2">
        <v>0</v>
      </c>
      <c r="K11" s="3">
        <f>IF(G11="Sí", C11/3, F11*H11)</f>
        <v>0</v>
      </c>
      <c r="L11" s="3">
        <f>IF(G11="Sí", C11/3, F11*I11)</f>
        <v>0</v>
      </c>
      <c r="M11" s="3">
        <f>IF(G11="Sí", C11/3, F11*J11)</f>
        <v>0</v>
      </c>
    </row>
    <row r="12" spans="1:13">
      <c r="A12" s="2"/>
      <c r="B12" s="2"/>
      <c r="C12" s="3"/>
      <c r="D12" s="2" t="s">
        <v>13</v>
      </c>
      <c r="E12" s="2"/>
      <c r="F12" s="3">
        <f>IF(E12&gt;0, C12/E12, 0)</f>
        <v>0</v>
      </c>
      <c r="G12" s="2" t="s">
        <v>14</v>
      </c>
      <c r="H12" s="2">
        <v>0</v>
      </c>
      <c r="I12" s="2">
        <v>0</v>
      </c>
      <c r="J12" s="2">
        <v>0</v>
      </c>
      <c r="K12" s="3">
        <f>IF(G12="Sí", C12/3, F12*H12)</f>
        <v>0</v>
      </c>
      <c r="L12" s="3">
        <f>IF(G12="Sí", C12/3, F12*I12)</f>
        <v>0</v>
      </c>
      <c r="M12" s="3">
        <f>IF(G12="Sí", C12/3, F12*J12)</f>
        <v>0</v>
      </c>
    </row>
    <row r="13" spans="1:13">
      <c r="A13" s="2"/>
      <c r="B13" s="2"/>
      <c r="C13" s="3"/>
      <c r="D13" s="2" t="s">
        <v>13</v>
      </c>
      <c r="E13" s="2"/>
      <c r="F13" s="3">
        <f>IF(E13&gt;0, C13/E13, 0)</f>
        <v>0</v>
      </c>
      <c r="G13" s="2" t="s">
        <v>14</v>
      </c>
      <c r="H13" s="2">
        <v>0</v>
      </c>
      <c r="I13" s="2">
        <v>0</v>
      </c>
      <c r="J13" s="2">
        <v>0</v>
      </c>
      <c r="K13" s="3">
        <f>IF(G13="Sí", C13/3, F13*H13)</f>
        <v>0</v>
      </c>
      <c r="L13" s="3">
        <f>IF(G13="Sí", C13/3, F13*I13)</f>
        <v>0</v>
      </c>
      <c r="M13" s="3">
        <f>IF(G13="Sí", C13/3, F13*J13)</f>
        <v>0</v>
      </c>
    </row>
    <row r="14" spans="1:13">
      <c r="A14" s="2"/>
      <c r="B14" s="2"/>
      <c r="C14" s="3"/>
      <c r="D14" s="2" t="s">
        <v>13</v>
      </c>
      <c r="E14" s="2"/>
      <c r="F14" s="3">
        <f>IF(E14&gt;0, C14/E14, 0)</f>
        <v>0</v>
      </c>
      <c r="G14" s="2" t="s">
        <v>14</v>
      </c>
      <c r="H14" s="2">
        <v>0</v>
      </c>
      <c r="I14" s="2">
        <v>0</v>
      </c>
      <c r="J14" s="2">
        <v>0</v>
      </c>
      <c r="K14" s="3">
        <f>IF(G14="Sí", C14/3, F14*H14)</f>
        <v>0</v>
      </c>
      <c r="L14" s="3">
        <f>IF(G14="Sí", C14/3, F14*I14)</f>
        <v>0</v>
      </c>
      <c r="M14" s="3">
        <f>IF(G14="Sí", C14/3, F14*J14)</f>
        <v>0</v>
      </c>
    </row>
    <row r="15" spans="1:13">
      <c r="A15" s="2"/>
      <c r="B15" s="2"/>
      <c r="C15" s="3"/>
      <c r="D15" s="2" t="s">
        <v>13</v>
      </c>
      <c r="E15" s="2"/>
      <c r="F15" s="3">
        <f>IF(E15&gt;0, C15/E15, 0)</f>
        <v>0</v>
      </c>
      <c r="G15" s="2" t="s">
        <v>14</v>
      </c>
      <c r="H15" s="2">
        <v>0</v>
      </c>
      <c r="I15" s="2">
        <v>0</v>
      </c>
      <c r="J15" s="2">
        <v>0</v>
      </c>
      <c r="K15" s="3">
        <f>IF(G15="Sí", C15/3, F15*H15)</f>
        <v>0</v>
      </c>
      <c r="L15" s="3">
        <f>IF(G15="Sí", C15/3, F15*I15)</f>
        <v>0</v>
      </c>
      <c r="M15" s="3">
        <f>IF(G15="Sí", C15/3, F15*J15)</f>
        <v>0</v>
      </c>
    </row>
    <row r="16" spans="1:13">
      <c r="A16" s="2"/>
      <c r="B16" s="2"/>
      <c r="C16" s="3"/>
      <c r="D16" s="2" t="s">
        <v>13</v>
      </c>
      <c r="E16" s="2"/>
      <c r="F16" s="3">
        <f>IF(E16&gt;0, C16/E16, 0)</f>
        <v>0</v>
      </c>
      <c r="G16" s="2" t="s">
        <v>14</v>
      </c>
      <c r="H16" s="2">
        <v>0</v>
      </c>
      <c r="I16" s="2">
        <v>0</v>
      </c>
      <c r="J16" s="2">
        <v>0</v>
      </c>
      <c r="K16" s="3">
        <f>IF(G16="Sí", C16/3, F16*H16)</f>
        <v>0</v>
      </c>
      <c r="L16" s="3">
        <f>IF(G16="Sí", C16/3, F16*I16)</f>
        <v>0</v>
      </c>
      <c r="M16" s="3">
        <f>IF(G16="Sí", C16/3, F16*J16)</f>
        <v>0</v>
      </c>
    </row>
    <row r="17" spans="1:13">
      <c r="A17" s="2"/>
      <c r="B17" s="2"/>
      <c r="C17" s="3"/>
      <c r="D17" s="2" t="s">
        <v>13</v>
      </c>
      <c r="E17" s="2"/>
      <c r="F17" s="3">
        <f>IF(E17&gt;0, C17/E17, 0)</f>
        <v>0</v>
      </c>
      <c r="G17" s="2" t="s">
        <v>14</v>
      </c>
      <c r="H17" s="2">
        <v>0</v>
      </c>
      <c r="I17" s="2">
        <v>0</v>
      </c>
      <c r="J17" s="2">
        <v>0</v>
      </c>
      <c r="K17" s="3">
        <f>IF(G17="Sí", C17/3, F17*H17)</f>
        <v>0</v>
      </c>
      <c r="L17" s="3">
        <f>IF(G17="Sí", C17/3, F17*I17)</f>
        <v>0</v>
      </c>
      <c r="M17" s="3">
        <f>IF(G17="Sí", C17/3, F17*J17)</f>
        <v>0</v>
      </c>
    </row>
    <row r="18" spans="1:13">
      <c r="A18" s="2"/>
      <c r="B18" s="2"/>
      <c r="C18" s="3"/>
      <c r="D18" s="2" t="s">
        <v>13</v>
      </c>
      <c r="E18" s="2"/>
      <c r="F18" s="3">
        <f>IF(E18&gt;0, C18/E18, 0)</f>
        <v>0</v>
      </c>
      <c r="G18" s="2" t="s">
        <v>14</v>
      </c>
      <c r="H18" s="2">
        <v>0</v>
      </c>
      <c r="I18" s="2">
        <v>0</v>
      </c>
      <c r="J18" s="2">
        <v>0</v>
      </c>
      <c r="K18" s="3">
        <f>IF(G18="Sí", C18/3, F18*H18)</f>
        <v>0</v>
      </c>
      <c r="L18" s="3">
        <f>IF(G18="Sí", C18/3, F18*I18)</f>
        <v>0</v>
      </c>
      <c r="M18" s="3">
        <f>IF(G18="Sí", C18/3, F18*J18)</f>
        <v>0</v>
      </c>
    </row>
    <row r="19" spans="1:13">
      <c r="A19" s="2"/>
      <c r="B19" s="2"/>
      <c r="C19" s="3"/>
      <c r="D19" s="2" t="s">
        <v>13</v>
      </c>
      <c r="E19" s="2"/>
      <c r="F19" s="3">
        <f>IF(E19&gt;0, C19/E19, 0)</f>
        <v>0</v>
      </c>
      <c r="G19" s="2" t="s">
        <v>14</v>
      </c>
      <c r="H19" s="2">
        <v>0</v>
      </c>
      <c r="I19" s="2">
        <v>0</v>
      </c>
      <c r="J19" s="2">
        <v>0</v>
      </c>
      <c r="K19" s="3">
        <f>IF(G19="Sí", C19/3, F19*H19)</f>
        <v>0</v>
      </c>
      <c r="L19" s="3">
        <f>IF(G19="Sí", C19/3, F19*I19)</f>
        <v>0</v>
      </c>
      <c r="M19" s="3">
        <f>IF(G19="Sí", C19/3, F19*J19)</f>
        <v>0</v>
      </c>
    </row>
    <row r="20" spans="1:13">
      <c r="A20" s="2"/>
      <c r="B20" s="2"/>
      <c r="C20" s="3"/>
      <c r="D20" s="2" t="s">
        <v>13</v>
      </c>
      <c r="E20" s="2"/>
      <c r="F20" s="3">
        <f>IF(E20&gt;0, C20/E20, 0)</f>
        <v>0</v>
      </c>
      <c r="G20" s="2" t="s">
        <v>14</v>
      </c>
      <c r="H20" s="2">
        <v>0</v>
      </c>
      <c r="I20" s="2">
        <v>0</v>
      </c>
      <c r="J20" s="2">
        <v>0</v>
      </c>
      <c r="K20" s="3">
        <f>IF(G20="Sí", C20/3, F20*H20)</f>
        <v>0</v>
      </c>
      <c r="L20" s="3">
        <f>IF(G20="Sí", C20/3, F20*I20)</f>
        <v>0</v>
      </c>
      <c r="M20" s="3">
        <f>IF(G20="Sí", C20/3, F20*J20)</f>
        <v>0</v>
      </c>
    </row>
    <row r="21" spans="1:13">
      <c r="A21" s="2"/>
      <c r="B21" s="2"/>
      <c r="C21" s="3"/>
      <c r="D21" s="2" t="s">
        <v>13</v>
      </c>
      <c r="E21" s="2"/>
      <c r="F21" s="3">
        <f>IF(E21&gt;0, C21/E21, 0)</f>
        <v>0</v>
      </c>
      <c r="G21" s="2" t="s">
        <v>14</v>
      </c>
      <c r="H21" s="2">
        <v>0</v>
      </c>
      <c r="I21" s="2">
        <v>0</v>
      </c>
      <c r="J21" s="2">
        <v>0</v>
      </c>
      <c r="K21" s="3">
        <f>IF(G21="Sí", C21/3, F21*H21)</f>
        <v>0</v>
      </c>
      <c r="L21" s="3">
        <f>IF(G21="Sí", C21/3, F21*I21)</f>
        <v>0</v>
      </c>
      <c r="M21" s="3">
        <f>IF(G21="Sí", C21/3, F21*J21)</f>
        <v>0</v>
      </c>
    </row>
    <row r="22" spans="1:13">
      <c r="A22" s="2"/>
      <c r="B22" s="2"/>
      <c r="C22" s="3"/>
      <c r="D22" s="2" t="s">
        <v>13</v>
      </c>
      <c r="E22" s="2"/>
      <c r="F22" s="3">
        <f>IF(E22&gt;0, C22/E22, 0)</f>
        <v>0</v>
      </c>
      <c r="G22" s="2" t="s">
        <v>14</v>
      </c>
      <c r="H22" s="2">
        <v>0</v>
      </c>
      <c r="I22" s="2">
        <v>0</v>
      </c>
      <c r="J22" s="2">
        <v>0</v>
      </c>
      <c r="K22" s="3">
        <f>IF(G22="Sí", C22/3, F22*H22)</f>
        <v>0</v>
      </c>
      <c r="L22" s="3">
        <f>IF(G22="Sí", C22/3, F22*I22)</f>
        <v>0</v>
      </c>
      <c r="M22" s="3">
        <f>IF(G22="Sí", C22/3, F22*J22)</f>
        <v>0</v>
      </c>
    </row>
    <row r="23" spans="1:13">
      <c r="A23" s="2"/>
      <c r="B23" s="2"/>
      <c r="C23" s="3"/>
      <c r="D23" s="2" t="s">
        <v>13</v>
      </c>
      <c r="E23" s="2"/>
      <c r="F23" s="3">
        <f>IF(E23&gt;0, C23/E23, 0)</f>
        <v>0</v>
      </c>
      <c r="G23" s="2" t="s">
        <v>14</v>
      </c>
      <c r="H23" s="2">
        <v>0</v>
      </c>
      <c r="I23" s="2">
        <v>0</v>
      </c>
      <c r="J23" s="2">
        <v>0</v>
      </c>
      <c r="K23" s="3">
        <f>IF(G23="Sí", C23/3, F23*H23)</f>
        <v>0</v>
      </c>
      <c r="L23" s="3">
        <f>IF(G23="Sí", C23/3, F23*I23)</f>
        <v>0</v>
      </c>
      <c r="M23" s="3">
        <f>IF(G23="Sí", C23/3, F23*J23)</f>
        <v>0</v>
      </c>
    </row>
    <row r="24" spans="1:13">
      <c r="A24" s="2"/>
      <c r="B24" s="2"/>
      <c r="C24" s="3"/>
      <c r="D24" s="2" t="s">
        <v>13</v>
      </c>
      <c r="E24" s="2"/>
      <c r="F24" s="3">
        <f>IF(E24&gt;0, C24/E24, 0)</f>
        <v>0</v>
      </c>
      <c r="G24" s="2" t="s">
        <v>14</v>
      </c>
      <c r="H24" s="2">
        <v>0</v>
      </c>
      <c r="I24" s="2">
        <v>0</v>
      </c>
      <c r="J24" s="2">
        <v>0</v>
      </c>
      <c r="K24" s="3">
        <f>IF(G24="Sí", C24/3, F24*H24)</f>
        <v>0</v>
      </c>
      <c r="L24" s="3">
        <f>IF(G24="Sí", C24/3, F24*I24)</f>
        <v>0</v>
      </c>
      <c r="M24" s="3">
        <f>IF(G24="Sí", C24/3, F24*J24)</f>
        <v>0</v>
      </c>
    </row>
    <row r="25" spans="1:13">
      <c r="A25" s="2"/>
      <c r="B25" s="2"/>
      <c r="C25" s="3"/>
      <c r="D25" s="2" t="s">
        <v>13</v>
      </c>
      <c r="E25" s="2"/>
      <c r="F25" s="3">
        <f>IF(E25&gt;0, C25/E25, 0)</f>
        <v>0</v>
      </c>
      <c r="G25" s="2" t="s">
        <v>14</v>
      </c>
      <c r="H25" s="2">
        <v>0</v>
      </c>
      <c r="I25" s="2">
        <v>0</v>
      </c>
      <c r="J25" s="2">
        <v>0</v>
      </c>
      <c r="K25" s="3">
        <f>IF(G25="Sí", C25/3, F25*H25)</f>
        <v>0</v>
      </c>
      <c r="L25" s="3">
        <f>IF(G25="Sí", C25/3, F25*I25)</f>
        <v>0</v>
      </c>
      <c r="M25" s="3">
        <f>IF(G25="Sí", C25/3, F25*J25)</f>
        <v>0</v>
      </c>
    </row>
    <row r="26" spans="1:13">
      <c r="A26" s="2"/>
      <c r="B26" s="2"/>
      <c r="C26" s="3"/>
      <c r="D26" s="2" t="s">
        <v>13</v>
      </c>
      <c r="E26" s="2"/>
      <c r="F26" s="3">
        <f>IF(E26&gt;0, C26/E26, 0)</f>
        <v>0</v>
      </c>
      <c r="G26" s="2" t="s">
        <v>14</v>
      </c>
      <c r="H26" s="2">
        <v>0</v>
      </c>
      <c r="I26" s="2">
        <v>0</v>
      </c>
      <c r="J26" s="2">
        <v>0</v>
      </c>
      <c r="K26" s="3">
        <f>IF(G26="Sí", C26/3, F26*H26)</f>
        <v>0</v>
      </c>
      <c r="L26" s="3">
        <f>IF(G26="Sí", C26/3, F26*I26)</f>
        <v>0</v>
      </c>
      <c r="M26" s="3">
        <f>IF(G26="Sí", C26/3, F26*J26)</f>
        <v>0</v>
      </c>
    </row>
    <row r="27" spans="1:13">
      <c r="A27" s="2"/>
      <c r="B27" s="2"/>
      <c r="C27" s="3"/>
      <c r="D27" s="2" t="s">
        <v>13</v>
      </c>
      <c r="E27" s="2"/>
      <c r="F27" s="3">
        <f>IF(E27&gt;0, C27/E27, 0)</f>
        <v>0</v>
      </c>
      <c r="G27" s="2" t="s">
        <v>14</v>
      </c>
      <c r="H27" s="2">
        <v>0</v>
      </c>
      <c r="I27" s="2">
        <v>0</v>
      </c>
      <c r="J27" s="2">
        <v>0</v>
      </c>
      <c r="K27" s="3">
        <f>IF(G27="Sí", C27/3, F27*H27)</f>
        <v>0</v>
      </c>
      <c r="L27" s="3">
        <f>IF(G27="Sí", C27/3, F27*I27)</f>
        <v>0</v>
      </c>
      <c r="M27" s="3">
        <f>IF(G27="Sí", C27/3, F27*J27)</f>
        <v>0</v>
      </c>
    </row>
    <row r="28" spans="1:13">
      <c r="A28" s="2"/>
      <c r="B28" s="2"/>
      <c r="C28" s="3"/>
      <c r="D28" s="2" t="s">
        <v>13</v>
      </c>
      <c r="E28" s="2"/>
      <c r="F28" s="3">
        <f>IF(E28&gt;0, C28/E28, 0)</f>
        <v>0</v>
      </c>
      <c r="G28" s="2" t="s">
        <v>14</v>
      </c>
      <c r="H28" s="2">
        <v>0</v>
      </c>
      <c r="I28" s="2">
        <v>0</v>
      </c>
      <c r="J28" s="2">
        <v>0</v>
      </c>
      <c r="K28" s="3">
        <f>IF(G28="Sí", C28/3, F28*H28)</f>
        <v>0</v>
      </c>
      <c r="L28" s="3">
        <f>IF(G28="Sí", C28/3, F28*I28)</f>
        <v>0</v>
      </c>
      <c r="M28" s="3">
        <f>IF(G28="Sí", C28/3, F28*J28)</f>
        <v>0</v>
      </c>
    </row>
    <row r="29" spans="1:13">
      <c r="A29" s="2"/>
      <c r="B29" s="2"/>
      <c r="C29" s="3"/>
      <c r="D29" s="2" t="s">
        <v>13</v>
      </c>
      <c r="E29" s="2"/>
      <c r="F29" s="3">
        <f>IF(E29&gt;0, C29/E29, 0)</f>
        <v>0</v>
      </c>
      <c r="G29" s="2" t="s">
        <v>14</v>
      </c>
      <c r="H29" s="2">
        <v>0</v>
      </c>
      <c r="I29" s="2">
        <v>0</v>
      </c>
      <c r="J29" s="2">
        <v>0</v>
      </c>
      <c r="K29" s="3">
        <f>IF(G29="Sí", C29/3, F29*H29)</f>
        <v>0</v>
      </c>
      <c r="L29" s="3">
        <f>IF(G29="Sí", C29/3, F29*I29)</f>
        <v>0</v>
      </c>
      <c r="M29" s="3">
        <f>IF(G29="Sí", C29/3, F29*J29)</f>
        <v>0</v>
      </c>
    </row>
    <row r="30" spans="1:13">
      <c r="A30" s="2"/>
      <c r="B30" s="2"/>
      <c r="C30" s="3"/>
      <c r="D30" s="2" t="s">
        <v>13</v>
      </c>
      <c r="E30" s="2"/>
      <c r="F30" s="3">
        <f>IF(E30&gt;0, C30/E30, 0)</f>
        <v>0</v>
      </c>
      <c r="G30" s="2" t="s">
        <v>14</v>
      </c>
      <c r="H30" s="2">
        <v>0</v>
      </c>
      <c r="I30" s="2">
        <v>0</v>
      </c>
      <c r="J30" s="2">
        <v>0</v>
      </c>
      <c r="K30" s="3">
        <f>IF(G30="Sí", C30/3, F30*H30)</f>
        <v>0</v>
      </c>
      <c r="L30" s="3">
        <f>IF(G30="Sí", C30/3, F30*I30)</f>
        <v>0</v>
      </c>
      <c r="M30" s="3">
        <f>IF(G30="Sí", C30/3, F30*J30)</f>
        <v>0</v>
      </c>
    </row>
    <row r="31" spans="1:13">
      <c r="A31" s="2"/>
      <c r="B31" s="2"/>
      <c r="C31" s="3"/>
      <c r="D31" s="2" t="s">
        <v>13</v>
      </c>
      <c r="E31" s="2"/>
      <c r="F31" s="3">
        <f>IF(E31&gt;0, C31/E31, 0)</f>
        <v>0</v>
      </c>
      <c r="G31" s="2" t="s">
        <v>14</v>
      </c>
      <c r="H31" s="2">
        <v>0</v>
      </c>
      <c r="I31" s="2">
        <v>0</v>
      </c>
      <c r="J31" s="2">
        <v>0</v>
      </c>
      <c r="K31" s="3">
        <f>IF(G31="Sí", C31/3, F31*H31)</f>
        <v>0</v>
      </c>
      <c r="L31" s="3">
        <f>IF(G31="Sí", C31/3, F31*I31)</f>
        <v>0</v>
      </c>
      <c r="M31" s="3">
        <f>IF(G31="Sí", C31/3, F31*J31)</f>
        <v>0</v>
      </c>
    </row>
    <row r="32" spans="1:13">
      <c r="A32" s="2"/>
      <c r="B32" s="2"/>
      <c r="C32" s="3"/>
      <c r="D32" s="2" t="s">
        <v>13</v>
      </c>
      <c r="E32" s="2"/>
      <c r="F32" s="3">
        <f>IF(E32&gt;0, C32/E32, 0)</f>
        <v>0</v>
      </c>
      <c r="G32" s="2" t="s">
        <v>14</v>
      </c>
      <c r="H32" s="2">
        <v>0</v>
      </c>
      <c r="I32" s="2">
        <v>0</v>
      </c>
      <c r="J32" s="2">
        <v>0</v>
      </c>
      <c r="K32" s="3">
        <f>IF(G32="Sí", C32/3, F32*H32)</f>
        <v>0</v>
      </c>
      <c r="L32" s="3">
        <f>IF(G32="Sí", C32/3, F32*I32)</f>
        <v>0</v>
      </c>
      <c r="M32" s="3">
        <f>IF(G32="Sí", C32/3, F32*J32)</f>
        <v>0</v>
      </c>
    </row>
    <row r="33" spans="1:13">
      <c r="A33" s="2"/>
      <c r="B33" s="2"/>
      <c r="C33" s="3"/>
      <c r="D33" s="2" t="s">
        <v>13</v>
      </c>
      <c r="E33" s="2"/>
      <c r="F33" s="3">
        <f>IF(E33&gt;0, C33/E33, 0)</f>
        <v>0</v>
      </c>
      <c r="G33" s="2" t="s">
        <v>14</v>
      </c>
      <c r="H33" s="2">
        <v>0</v>
      </c>
      <c r="I33" s="2">
        <v>0</v>
      </c>
      <c r="J33" s="2">
        <v>0</v>
      </c>
      <c r="K33" s="3">
        <f>IF(G33="Sí", C33/3, F33*H33)</f>
        <v>0</v>
      </c>
      <c r="L33" s="3">
        <f>IF(G33="Sí", C33/3, F33*I33)</f>
        <v>0</v>
      </c>
      <c r="M33" s="3">
        <f>IF(G33="Sí", C33/3, F33*J33)</f>
        <v>0</v>
      </c>
    </row>
    <row r="34" spans="1:13">
      <c r="A34" s="2"/>
      <c r="B34" s="2"/>
      <c r="C34" s="3"/>
      <c r="D34" s="2" t="s">
        <v>13</v>
      </c>
      <c r="E34" s="2"/>
      <c r="F34" s="3">
        <f>IF(E34&gt;0, C34/E34, 0)</f>
        <v>0</v>
      </c>
      <c r="G34" s="2" t="s">
        <v>14</v>
      </c>
      <c r="H34" s="2">
        <v>0</v>
      </c>
      <c r="I34" s="2">
        <v>0</v>
      </c>
      <c r="J34" s="2">
        <v>0</v>
      </c>
      <c r="K34" s="3">
        <f>IF(G34="Sí", C34/3, F34*H34)</f>
        <v>0</v>
      </c>
      <c r="L34" s="3">
        <f>IF(G34="Sí", C34/3, F34*I34)</f>
        <v>0</v>
      </c>
      <c r="M34" s="3">
        <f>IF(G34="Sí", C34/3, F34*J34)</f>
        <v>0</v>
      </c>
    </row>
    <row r="35" spans="1:13">
      <c r="A35" s="2"/>
      <c r="B35" s="2"/>
      <c r="C35" s="3"/>
      <c r="D35" s="2" t="s">
        <v>13</v>
      </c>
      <c r="E35" s="2"/>
      <c r="F35" s="3">
        <f>IF(E35&gt;0, C35/E35, 0)</f>
        <v>0</v>
      </c>
      <c r="G35" s="2" t="s">
        <v>14</v>
      </c>
      <c r="H35" s="2">
        <v>0</v>
      </c>
      <c r="I35" s="2">
        <v>0</v>
      </c>
      <c r="J35" s="2">
        <v>0</v>
      </c>
      <c r="K35" s="3">
        <f>IF(G35="Sí", C35/3, F35*H35)</f>
        <v>0</v>
      </c>
      <c r="L35" s="3">
        <f>IF(G35="Sí", C35/3, F35*I35)</f>
        <v>0</v>
      </c>
      <c r="M35" s="3">
        <f>IF(G35="Sí", C35/3, F35*J35)</f>
        <v>0</v>
      </c>
    </row>
    <row r="36" spans="1:13">
      <c r="A36" s="2"/>
      <c r="B36" s="2"/>
      <c r="C36" s="3"/>
      <c r="D36" s="2" t="s">
        <v>13</v>
      </c>
      <c r="E36" s="2"/>
      <c r="F36" s="3">
        <f>IF(E36&gt;0, C36/E36, 0)</f>
        <v>0</v>
      </c>
      <c r="G36" s="2" t="s">
        <v>14</v>
      </c>
      <c r="H36" s="2">
        <v>0</v>
      </c>
      <c r="I36" s="2">
        <v>0</v>
      </c>
      <c r="J36" s="2">
        <v>0</v>
      </c>
      <c r="K36" s="3">
        <f>IF(G36="Sí", C36/3, F36*H36)</f>
        <v>0</v>
      </c>
      <c r="L36" s="3">
        <f>IF(G36="Sí", C36/3, F36*I36)</f>
        <v>0</v>
      </c>
      <c r="M36" s="3">
        <f>IF(G36="Sí", C36/3, F36*J36)</f>
        <v>0</v>
      </c>
    </row>
    <row r="37" spans="1:13">
      <c r="A37" s="2"/>
      <c r="B37" s="2"/>
      <c r="C37" s="3"/>
      <c r="D37" s="2" t="s">
        <v>13</v>
      </c>
      <c r="E37" s="2"/>
      <c r="F37" s="3">
        <f>IF(E37&gt;0, C37/E37, 0)</f>
        <v>0</v>
      </c>
      <c r="G37" s="2" t="s">
        <v>14</v>
      </c>
      <c r="H37" s="2">
        <v>0</v>
      </c>
      <c r="I37" s="2">
        <v>0</v>
      </c>
      <c r="J37" s="2">
        <v>0</v>
      </c>
      <c r="K37" s="3">
        <f>IF(G37="Sí", C37/3, F37*H37)</f>
        <v>0</v>
      </c>
      <c r="L37" s="3">
        <f>IF(G37="Sí", C37/3, F37*I37)</f>
        <v>0</v>
      </c>
      <c r="M37" s="3">
        <f>IF(G37="Sí", C37/3, F37*J37)</f>
        <v>0</v>
      </c>
    </row>
    <row r="38" spans="1:13">
      <c r="A38" s="2"/>
      <c r="B38" s="2"/>
      <c r="C38" s="3"/>
      <c r="D38" s="2" t="s">
        <v>13</v>
      </c>
      <c r="E38" s="2"/>
      <c r="F38" s="3">
        <f>IF(E38&gt;0, C38/E38, 0)</f>
        <v>0</v>
      </c>
      <c r="G38" s="2" t="s">
        <v>14</v>
      </c>
      <c r="H38" s="2">
        <v>0</v>
      </c>
      <c r="I38" s="2">
        <v>0</v>
      </c>
      <c r="J38" s="2">
        <v>0</v>
      </c>
      <c r="K38" s="3">
        <f>IF(G38="Sí", C38/3, F38*H38)</f>
        <v>0</v>
      </c>
      <c r="L38" s="3">
        <f>IF(G38="Sí", C38/3, F38*I38)</f>
        <v>0</v>
      </c>
      <c r="M38" s="3">
        <f>IF(G38="Sí", C38/3, F38*J38)</f>
        <v>0</v>
      </c>
    </row>
    <row r="39" spans="1:13">
      <c r="A39" s="2"/>
      <c r="B39" s="2"/>
      <c r="C39" s="3"/>
      <c r="D39" s="2" t="s">
        <v>13</v>
      </c>
      <c r="E39" s="2"/>
      <c r="F39" s="3">
        <f>IF(E39&gt;0, C39/E39, 0)</f>
        <v>0</v>
      </c>
      <c r="G39" s="2" t="s">
        <v>14</v>
      </c>
      <c r="H39" s="2">
        <v>0</v>
      </c>
      <c r="I39" s="2">
        <v>0</v>
      </c>
      <c r="J39" s="2">
        <v>0</v>
      </c>
      <c r="K39" s="3">
        <f>IF(G39="Sí", C39/3, F39*H39)</f>
        <v>0</v>
      </c>
      <c r="L39" s="3">
        <f>IF(G39="Sí", C39/3, F39*I39)</f>
        <v>0</v>
      </c>
      <c r="M39" s="3">
        <f>IF(G39="Sí", C39/3, F39*J39)</f>
        <v>0</v>
      </c>
    </row>
    <row r="40" spans="1:13">
      <c r="A40" s="2"/>
      <c r="B40" s="2"/>
      <c r="C40" s="3"/>
      <c r="D40" s="2" t="s">
        <v>13</v>
      </c>
      <c r="E40" s="2"/>
      <c r="F40" s="3">
        <f>IF(E40&gt;0, C40/E40, 0)</f>
        <v>0</v>
      </c>
      <c r="G40" s="2" t="s">
        <v>14</v>
      </c>
      <c r="H40" s="2">
        <v>0</v>
      </c>
      <c r="I40" s="2">
        <v>0</v>
      </c>
      <c r="J40" s="2">
        <v>0</v>
      </c>
      <c r="K40" s="3">
        <f>IF(G40="Sí", C40/3, F40*H40)</f>
        <v>0</v>
      </c>
      <c r="L40" s="3">
        <f>IF(G40="Sí", C40/3, F40*I40)</f>
        <v>0</v>
      </c>
      <c r="M40" s="3">
        <f>IF(G40="Sí", C40/3, F40*J40)</f>
        <v>0</v>
      </c>
    </row>
    <row r="41" spans="1:13">
      <c r="A41" s="2"/>
      <c r="B41" s="2"/>
      <c r="C41" s="3"/>
      <c r="D41" s="2" t="s">
        <v>13</v>
      </c>
      <c r="E41" s="2"/>
      <c r="F41" s="3">
        <f>IF(E41&gt;0, C41/E41, 0)</f>
        <v>0</v>
      </c>
      <c r="G41" s="2" t="s">
        <v>14</v>
      </c>
      <c r="H41" s="2">
        <v>0</v>
      </c>
      <c r="I41" s="2">
        <v>0</v>
      </c>
      <c r="J41" s="2">
        <v>0</v>
      </c>
      <c r="K41" s="3">
        <f>IF(G41="Sí", C41/3, F41*H41)</f>
        <v>0</v>
      </c>
      <c r="L41" s="3">
        <f>IF(G41="Sí", C41/3, F41*I41)</f>
        <v>0</v>
      </c>
      <c r="M41" s="3">
        <f>IF(G41="Sí", C41/3, F41*J41)</f>
        <v>0</v>
      </c>
    </row>
    <row r="42" spans="1:13">
      <c r="A42" s="2"/>
      <c r="B42" s="2"/>
      <c r="C42" s="3"/>
      <c r="D42" s="2" t="s">
        <v>13</v>
      </c>
      <c r="E42" s="2"/>
      <c r="F42" s="3">
        <f>IF(E42&gt;0, C42/E42, 0)</f>
        <v>0</v>
      </c>
      <c r="G42" s="2" t="s">
        <v>14</v>
      </c>
      <c r="H42" s="2">
        <v>0</v>
      </c>
      <c r="I42" s="2">
        <v>0</v>
      </c>
      <c r="J42" s="2">
        <v>0</v>
      </c>
      <c r="K42" s="3">
        <f>IF(G42="Sí", C42/3, F42*H42)</f>
        <v>0</v>
      </c>
      <c r="L42" s="3">
        <f>IF(G42="Sí", C42/3, F42*I42)</f>
        <v>0</v>
      </c>
      <c r="M42" s="3">
        <f>IF(G42="Sí", C42/3, F42*J42)</f>
        <v>0</v>
      </c>
    </row>
    <row r="43" spans="1:13">
      <c r="A43" s="2"/>
      <c r="B43" s="2"/>
      <c r="C43" s="3"/>
      <c r="D43" s="2" t="s">
        <v>13</v>
      </c>
      <c r="E43" s="2"/>
      <c r="F43" s="3">
        <f>IF(E43&gt;0, C43/E43, 0)</f>
        <v>0</v>
      </c>
      <c r="G43" s="2" t="s">
        <v>14</v>
      </c>
      <c r="H43" s="2">
        <v>0</v>
      </c>
      <c r="I43" s="2">
        <v>0</v>
      </c>
      <c r="J43" s="2">
        <v>0</v>
      </c>
      <c r="K43" s="3">
        <f>IF(G43="Sí", C43/3, F43*H43)</f>
        <v>0</v>
      </c>
      <c r="L43" s="3">
        <f>IF(G43="Sí", C43/3, F43*I43)</f>
        <v>0</v>
      </c>
      <c r="M43" s="3">
        <f>IF(G43="Sí", C43/3, F43*J43)</f>
        <v>0</v>
      </c>
    </row>
    <row r="44" spans="1:13">
      <c r="A44" s="2"/>
      <c r="B44" s="2"/>
      <c r="C44" s="3"/>
      <c r="D44" s="2" t="s">
        <v>13</v>
      </c>
      <c r="E44" s="2"/>
      <c r="F44" s="3">
        <f>IF(E44&gt;0, C44/E44, 0)</f>
        <v>0</v>
      </c>
      <c r="G44" s="2" t="s">
        <v>14</v>
      </c>
      <c r="H44" s="2">
        <v>0</v>
      </c>
      <c r="I44" s="2">
        <v>0</v>
      </c>
      <c r="J44" s="2">
        <v>0</v>
      </c>
      <c r="K44" s="3">
        <f>IF(G44="Sí", C44/3, F44*H44)</f>
        <v>0</v>
      </c>
      <c r="L44" s="3">
        <f>IF(G44="Sí", C44/3, F44*I44)</f>
        <v>0</v>
      </c>
      <c r="M44" s="3">
        <f>IF(G44="Sí", C44/3, F44*J44)</f>
        <v>0</v>
      </c>
    </row>
    <row r="45" spans="1:13">
      <c r="A45" s="2"/>
      <c r="B45" s="2"/>
      <c r="C45" s="3"/>
      <c r="D45" s="2" t="s">
        <v>13</v>
      </c>
      <c r="E45" s="2"/>
      <c r="F45" s="3">
        <f>IF(E45&gt;0, C45/E45, 0)</f>
        <v>0</v>
      </c>
      <c r="G45" s="2" t="s">
        <v>14</v>
      </c>
      <c r="H45" s="2">
        <v>0</v>
      </c>
      <c r="I45" s="2">
        <v>0</v>
      </c>
      <c r="J45" s="2">
        <v>0</v>
      </c>
      <c r="K45" s="3">
        <f>IF(G45="Sí", C45/3, F45*H45)</f>
        <v>0</v>
      </c>
      <c r="L45" s="3">
        <f>IF(G45="Sí", C45/3, F45*I45)</f>
        <v>0</v>
      </c>
      <c r="M45" s="3">
        <f>IF(G45="Sí", C45/3, F45*J45)</f>
        <v>0</v>
      </c>
    </row>
    <row r="46" spans="1:13">
      <c r="A46" s="2"/>
      <c r="B46" s="2"/>
      <c r="C46" s="3"/>
      <c r="D46" s="2" t="s">
        <v>13</v>
      </c>
      <c r="E46" s="2"/>
      <c r="F46" s="3">
        <f>IF(E46&gt;0, C46/E46, 0)</f>
        <v>0</v>
      </c>
      <c r="G46" s="2" t="s">
        <v>14</v>
      </c>
      <c r="H46" s="2">
        <v>0</v>
      </c>
      <c r="I46" s="2">
        <v>0</v>
      </c>
      <c r="J46" s="2">
        <v>0</v>
      </c>
      <c r="K46" s="3">
        <f>IF(G46="Sí", C46/3, F46*H46)</f>
        <v>0</v>
      </c>
      <c r="L46" s="3">
        <f>IF(G46="Sí", C46/3, F46*I46)</f>
        <v>0</v>
      </c>
      <c r="M46" s="3">
        <f>IF(G46="Sí", C46/3, F46*J46)</f>
        <v>0</v>
      </c>
    </row>
    <row r="47" spans="1:13">
      <c r="A47" s="2"/>
      <c r="B47" s="2"/>
      <c r="C47" s="3"/>
      <c r="D47" s="2" t="s">
        <v>13</v>
      </c>
      <c r="E47" s="2"/>
      <c r="F47" s="3">
        <f>IF(E47&gt;0, C47/E47, 0)</f>
        <v>0</v>
      </c>
      <c r="G47" s="2" t="s">
        <v>14</v>
      </c>
      <c r="H47" s="2">
        <v>0</v>
      </c>
      <c r="I47" s="2">
        <v>0</v>
      </c>
      <c r="J47" s="2">
        <v>0</v>
      </c>
      <c r="K47" s="3">
        <f>IF(G47="Sí", C47/3, F47*H47)</f>
        <v>0</v>
      </c>
      <c r="L47" s="3">
        <f>IF(G47="Sí", C47/3, F47*I47)</f>
        <v>0</v>
      </c>
      <c r="M47" s="3">
        <f>IF(G47="Sí", C47/3, F47*J47)</f>
        <v>0</v>
      </c>
    </row>
    <row r="48" spans="1:13">
      <c r="A48" s="2"/>
      <c r="B48" s="2"/>
      <c r="C48" s="3"/>
      <c r="D48" s="2" t="s">
        <v>13</v>
      </c>
      <c r="E48" s="2"/>
      <c r="F48" s="3">
        <f>IF(E48&gt;0, C48/E48, 0)</f>
        <v>0</v>
      </c>
      <c r="G48" s="2" t="s">
        <v>14</v>
      </c>
      <c r="H48" s="2">
        <v>0</v>
      </c>
      <c r="I48" s="2">
        <v>0</v>
      </c>
      <c r="J48" s="2">
        <v>0</v>
      </c>
      <c r="K48" s="3">
        <f>IF(G48="Sí", C48/3, F48*H48)</f>
        <v>0</v>
      </c>
      <c r="L48" s="3">
        <f>IF(G48="Sí", C48/3, F48*I48)</f>
        <v>0</v>
      </c>
      <c r="M48" s="3">
        <f>IF(G48="Sí", C48/3, F48*J48)</f>
        <v>0</v>
      </c>
    </row>
    <row r="49" spans="1:13">
      <c r="A49" s="2"/>
      <c r="B49" s="2"/>
      <c r="C49" s="3"/>
      <c r="D49" s="2" t="s">
        <v>13</v>
      </c>
      <c r="E49" s="2"/>
      <c r="F49" s="3">
        <f>IF(E49&gt;0, C49/E49, 0)</f>
        <v>0</v>
      </c>
      <c r="G49" s="2" t="s">
        <v>14</v>
      </c>
      <c r="H49" s="2">
        <v>0</v>
      </c>
      <c r="I49" s="2">
        <v>0</v>
      </c>
      <c r="J49" s="2">
        <v>0</v>
      </c>
      <c r="K49" s="3">
        <f>IF(G49="Sí", C49/3, F49*H49)</f>
        <v>0</v>
      </c>
      <c r="L49" s="3">
        <f>IF(G49="Sí", C49/3, F49*I49)</f>
        <v>0</v>
      </c>
      <c r="M49" s="3">
        <f>IF(G49="Sí", C49/3, F49*J49)</f>
        <v>0</v>
      </c>
    </row>
    <row r="50" spans="1:13">
      <c r="A50" s="2"/>
      <c r="B50" s="2"/>
      <c r="C50" s="3"/>
      <c r="D50" s="2" t="s">
        <v>13</v>
      </c>
      <c r="E50" s="2"/>
      <c r="F50" s="3">
        <f>IF(E50&gt;0, C50/E50, 0)</f>
        <v>0</v>
      </c>
      <c r="G50" s="2" t="s">
        <v>14</v>
      </c>
      <c r="H50" s="2">
        <v>0</v>
      </c>
      <c r="I50" s="2">
        <v>0</v>
      </c>
      <c r="J50" s="2">
        <v>0</v>
      </c>
      <c r="K50" s="3">
        <f>IF(G50="Sí", C50/3, F50*H50)</f>
        <v>0</v>
      </c>
      <c r="L50" s="3">
        <f>IF(G50="Sí", C50/3, F50*I50)</f>
        <v>0</v>
      </c>
      <c r="M50" s="3">
        <f>IF(G50="Sí", C50/3, F50*J50)</f>
        <v>0</v>
      </c>
    </row>
    <row r="51" spans="1:13">
      <c r="A51" s="2"/>
      <c r="B51" s="2"/>
      <c r="C51" s="3"/>
      <c r="D51" s="2" t="s">
        <v>13</v>
      </c>
      <c r="E51" s="2"/>
      <c r="F51" s="3">
        <f>IF(E51&gt;0, C51/E51, 0)</f>
        <v>0</v>
      </c>
      <c r="G51" s="2" t="s">
        <v>14</v>
      </c>
      <c r="H51" s="2">
        <v>0</v>
      </c>
      <c r="I51" s="2">
        <v>0</v>
      </c>
      <c r="J51" s="2">
        <v>0</v>
      </c>
      <c r="K51" s="3">
        <f>IF(G51="Sí", C51/3, F51*H51)</f>
        <v>0</v>
      </c>
      <c r="L51" s="3">
        <f>IF(G51="Sí", C51/3, F51*I51)</f>
        <v>0</v>
      </c>
      <c r="M51" s="3">
        <f>IF(G51="Sí", C51/3, F51*J51)</f>
        <v>0</v>
      </c>
    </row>
  </sheetData>
  <dataValidations count="2">
    <dataValidation type="list" allowBlank="1" showInputMessage="1" showErrorMessage="1" sqref="D2:D51">
      <formula1>"Juano,Alberto,Mitchel"</formula1>
    </dataValidation>
    <dataValidation type="list" allowBlank="1" showInputMessage="1" showErrorMessage="1" sqref="G2:G51">
      <formula1>"Sí,No"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1"/>
  <sheetViews>
    <sheetView workbookViewId="0"/>
  </sheetViews>
  <sheetFormatPr defaultRowHeight="15"/>
  <cols>
    <col min="2" max="2" width="25.7109375" customWidth="1"/>
  </cols>
  <sheetData>
    <row r="1" spans="1:7">
      <c r="A1" s="1" t="s">
        <v>0</v>
      </c>
      <c r="B1" s="1" t="s">
        <v>15</v>
      </c>
      <c r="C1" s="1" t="s">
        <v>16</v>
      </c>
      <c r="D1" s="1" t="s">
        <v>3</v>
      </c>
      <c r="E1" s="1" t="s">
        <v>17</v>
      </c>
      <c r="F1" s="1" t="s">
        <v>18</v>
      </c>
      <c r="G1" s="1" t="s">
        <v>19</v>
      </c>
    </row>
    <row r="2" spans="1:7">
      <c r="A2" s="2"/>
      <c r="B2" s="2"/>
      <c r="C2" s="3"/>
      <c r="D2" s="2" t="s">
        <v>20</v>
      </c>
      <c r="E2" s="3">
        <f>IF(C2&gt;0, C2/3, 0)</f>
        <v>0</v>
      </c>
      <c r="F2" s="3">
        <f>IF(C2&gt;0, C2/3, 0)</f>
        <v>0</v>
      </c>
      <c r="G2" s="3">
        <f>IF(C2&gt;0, C2/3, 0)</f>
        <v>0</v>
      </c>
    </row>
    <row r="3" spans="1:7">
      <c r="A3" s="2"/>
      <c r="B3" s="2"/>
      <c r="C3" s="3"/>
      <c r="D3" s="2" t="s">
        <v>20</v>
      </c>
      <c r="E3" s="3">
        <f>IF(C3&gt;0, C3/3, 0)</f>
        <v>0</v>
      </c>
      <c r="F3" s="3">
        <f>IF(C3&gt;0, C3/3, 0)</f>
        <v>0</v>
      </c>
      <c r="G3" s="3">
        <f>IF(C3&gt;0, C3/3, 0)</f>
        <v>0</v>
      </c>
    </row>
    <row r="4" spans="1:7">
      <c r="A4" s="2"/>
      <c r="B4" s="2"/>
      <c r="C4" s="3"/>
      <c r="D4" s="2" t="s">
        <v>20</v>
      </c>
      <c r="E4" s="3">
        <f>IF(C4&gt;0, C4/3, 0)</f>
        <v>0</v>
      </c>
      <c r="F4" s="3">
        <f>IF(C4&gt;0, C4/3, 0)</f>
        <v>0</v>
      </c>
      <c r="G4" s="3">
        <f>IF(C4&gt;0, C4/3, 0)</f>
        <v>0</v>
      </c>
    </row>
    <row r="5" spans="1:7">
      <c r="A5" s="2"/>
      <c r="B5" s="2"/>
      <c r="C5" s="3"/>
      <c r="D5" s="2" t="s">
        <v>20</v>
      </c>
      <c r="E5" s="3">
        <f>IF(C5&gt;0, C5/3, 0)</f>
        <v>0</v>
      </c>
      <c r="F5" s="3">
        <f>IF(C5&gt;0, C5/3, 0)</f>
        <v>0</v>
      </c>
      <c r="G5" s="3">
        <f>IF(C5&gt;0, C5/3, 0)</f>
        <v>0</v>
      </c>
    </row>
    <row r="6" spans="1:7">
      <c r="A6" s="2"/>
      <c r="B6" s="2"/>
      <c r="C6" s="3"/>
      <c r="D6" s="2" t="s">
        <v>20</v>
      </c>
      <c r="E6" s="3">
        <f>IF(C6&gt;0, C6/3, 0)</f>
        <v>0</v>
      </c>
      <c r="F6" s="3">
        <f>IF(C6&gt;0, C6/3, 0)</f>
        <v>0</v>
      </c>
      <c r="G6" s="3">
        <f>IF(C6&gt;0, C6/3, 0)</f>
        <v>0</v>
      </c>
    </row>
    <row r="7" spans="1:7">
      <c r="A7" s="2"/>
      <c r="B7" s="2"/>
      <c r="C7" s="3"/>
      <c r="D7" s="2" t="s">
        <v>20</v>
      </c>
      <c r="E7" s="3">
        <f>IF(C7&gt;0, C7/3, 0)</f>
        <v>0</v>
      </c>
      <c r="F7" s="3">
        <f>IF(C7&gt;0, C7/3, 0)</f>
        <v>0</v>
      </c>
      <c r="G7" s="3">
        <f>IF(C7&gt;0, C7/3, 0)</f>
        <v>0</v>
      </c>
    </row>
    <row r="8" spans="1:7">
      <c r="A8" s="2"/>
      <c r="B8" s="2"/>
      <c r="C8" s="3"/>
      <c r="D8" s="2" t="s">
        <v>20</v>
      </c>
      <c r="E8" s="3">
        <f>IF(C8&gt;0, C8/3, 0)</f>
        <v>0</v>
      </c>
      <c r="F8" s="3">
        <f>IF(C8&gt;0, C8/3, 0)</f>
        <v>0</v>
      </c>
      <c r="G8" s="3">
        <f>IF(C8&gt;0, C8/3, 0)</f>
        <v>0</v>
      </c>
    </row>
    <row r="9" spans="1:7">
      <c r="A9" s="2"/>
      <c r="B9" s="2"/>
      <c r="C9" s="3"/>
      <c r="D9" s="2" t="s">
        <v>20</v>
      </c>
      <c r="E9" s="3">
        <f>IF(C9&gt;0, C9/3, 0)</f>
        <v>0</v>
      </c>
      <c r="F9" s="3">
        <f>IF(C9&gt;0, C9/3, 0)</f>
        <v>0</v>
      </c>
      <c r="G9" s="3">
        <f>IF(C9&gt;0, C9/3, 0)</f>
        <v>0</v>
      </c>
    </row>
    <row r="10" spans="1:7">
      <c r="A10" s="2"/>
      <c r="B10" s="2"/>
      <c r="C10" s="3"/>
      <c r="D10" s="2" t="s">
        <v>20</v>
      </c>
      <c r="E10" s="3">
        <f>IF(C10&gt;0, C10/3, 0)</f>
        <v>0</v>
      </c>
      <c r="F10" s="3">
        <f>IF(C10&gt;0, C10/3, 0)</f>
        <v>0</v>
      </c>
      <c r="G10" s="3">
        <f>IF(C10&gt;0, C10/3, 0)</f>
        <v>0</v>
      </c>
    </row>
    <row r="11" spans="1:7">
      <c r="A11" s="2"/>
      <c r="B11" s="2"/>
      <c r="C11" s="3"/>
      <c r="D11" s="2" t="s">
        <v>20</v>
      </c>
      <c r="E11" s="3">
        <f>IF(C11&gt;0, C11/3, 0)</f>
        <v>0</v>
      </c>
      <c r="F11" s="3">
        <f>IF(C11&gt;0, C11/3, 0)</f>
        <v>0</v>
      </c>
      <c r="G11" s="3">
        <f>IF(C11&gt;0, C11/3, 0)</f>
        <v>0</v>
      </c>
    </row>
    <row r="12" spans="1:7">
      <c r="A12" s="2"/>
      <c r="B12" s="2"/>
      <c r="C12" s="3"/>
      <c r="D12" s="2" t="s">
        <v>20</v>
      </c>
      <c r="E12" s="3">
        <f>IF(C12&gt;0, C12/3, 0)</f>
        <v>0</v>
      </c>
      <c r="F12" s="3">
        <f>IF(C12&gt;0, C12/3, 0)</f>
        <v>0</v>
      </c>
      <c r="G12" s="3">
        <f>IF(C12&gt;0, C12/3, 0)</f>
        <v>0</v>
      </c>
    </row>
    <row r="13" spans="1:7">
      <c r="A13" s="2"/>
      <c r="B13" s="2"/>
      <c r="C13" s="3"/>
      <c r="D13" s="2" t="s">
        <v>20</v>
      </c>
      <c r="E13" s="3">
        <f>IF(C13&gt;0, C13/3, 0)</f>
        <v>0</v>
      </c>
      <c r="F13" s="3">
        <f>IF(C13&gt;0, C13/3, 0)</f>
        <v>0</v>
      </c>
      <c r="G13" s="3">
        <f>IF(C13&gt;0, C13/3, 0)</f>
        <v>0</v>
      </c>
    </row>
    <row r="14" spans="1:7">
      <c r="A14" s="2"/>
      <c r="B14" s="2"/>
      <c r="C14" s="3"/>
      <c r="D14" s="2" t="s">
        <v>20</v>
      </c>
      <c r="E14" s="3">
        <f>IF(C14&gt;0, C14/3, 0)</f>
        <v>0</v>
      </c>
      <c r="F14" s="3">
        <f>IF(C14&gt;0, C14/3, 0)</f>
        <v>0</v>
      </c>
      <c r="G14" s="3">
        <f>IF(C14&gt;0, C14/3, 0)</f>
        <v>0</v>
      </c>
    </row>
    <row r="15" spans="1:7">
      <c r="A15" s="2"/>
      <c r="B15" s="2"/>
      <c r="C15" s="3"/>
      <c r="D15" s="2" t="s">
        <v>20</v>
      </c>
      <c r="E15" s="3">
        <f>IF(C15&gt;0, C15/3, 0)</f>
        <v>0</v>
      </c>
      <c r="F15" s="3">
        <f>IF(C15&gt;0, C15/3, 0)</f>
        <v>0</v>
      </c>
      <c r="G15" s="3">
        <f>IF(C15&gt;0, C15/3, 0)</f>
        <v>0</v>
      </c>
    </row>
    <row r="16" spans="1:7">
      <c r="A16" s="2"/>
      <c r="B16" s="2"/>
      <c r="C16" s="3"/>
      <c r="D16" s="2" t="s">
        <v>20</v>
      </c>
      <c r="E16" s="3">
        <f>IF(C16&gt;0, C16/3, 0)</f>
        <v>0</v>
      </c>
      <c r="F16" s="3">
        <f>IF(C16&gt;0, C16/3, 0)</f>
        <v>0</v>
      </c>
      <c r="G16" s="3">
        <f>IF(C16&gt;0, C16/3, 0)</f>
        <v>0</v>
      </c>
    </row>
    <row r="17" spans="1:7">
      <c r="A17" s="2"/>
      <c r="B17" s="2"/>
      <c r="C17" s="3"/>
      <c r="D17" s="2" t="s">
        <v>20</v>
      </c>
      <c r="E17" s="3">
        <f>IF(C17&gt;0, C17/3, 0)</f>
        <v>0</v>
      </c>
      <c r="F17" s="3">
        <f>IF(C17&gt;0, C17/3, 0)</f>
        <v>0</v>
      </c>
      <c r="G17" s="3">
        <f>IF(C17&gt;0, C17/3, 0)</f>
        <v>0</v>
      </c>
    </row>
    <row r="18" spans="1:7">
      <c r="A18" s="2"/>
      <c r="B18" s="2"/>
      <c r="C18" s="3"/>
      <c r="D18" s="2" t="s">
        <v>20</v>
      </c>
      <c r="E18" s="3">
        <f>IF(C18&gt;0, C18/3, 0)</f>
        <v>0</v>
      </c>
      <c r="F18" s="3">
        <f>IF(C18&gt;0, C18/3, 0)</f>
        <v>0</v>
      </c>
      <c r="G18" s="3">
        <f>IF(C18&gt;0, C18/3, 0)</f>
        <v>0</v>
      </c>
    </row>
    <row r="19" spans="1:7">
      <c r="A19" s="2"/>
      <c r="B19" s="2"/>
      <c r="C19" s="3"/>
      <c r="D19" s="2" t="s">
        <v>20</v>
      </c>
      <c r="E19" s="3">
        <f>IF(C19&gt;0, C19/3, 0)</f>
        <v>0</v>
      </c>
      <c r="F19" s="3">
        <f>IF(C19&gt;0, C19/3, 0)</f>
        <v>0</v>
      </c>
      <c r="G19" s="3">
        <f>IF(C19&gt;0, C19/3, 0)</f>
        <v>0</v>
      </c>
    </row>
    <row r="20" spans="1:7">
      <c r="A20" s="2"/>
      <c r="B20" s="2"/>
      <c r="C20" s="3"/>
      <c r="D20" s="2" t="s">
        <v>20</v>
      </c>
      <c r="E20" s="3">
        <f>IF(C20&gt;0, C20/3, 0)</f>
        <v>0</v>
      </c>
      <c r="F20" s="3">
        <f>IF(C20&gt;0, C20/3, 0)</f>
        <v>0</v>
      </c>
      <c r="G20" s="3">
        <f>IF(C20&gt;0, C20/3, 0)</f>
        <v>0</v>
      </c>
    </row>
    <row r="21" spans="1:7">
      <c r="A21" s="2"/>
      <c r="B21" s="2"/>
      <c r="C21" s="3"/>
      <c r="D21" s="2" t="s">
        <v>20</v>
      </c>
      <c r="E21" s="3">
        <f>IF(C21&gt;0, C21/3, 0)</f>
        <v>0</v>
      </c>
      <c r="F21" s="3">
        <f>IF(C21&gt;0, C21/3, 0)</f>
        <v>0</v>
      </c>
      <c r="G21" s="3">
        <f>IF(C21&gt;0, C21/3, 0)</f>
        <v>0</v>
      </c>
    </row>
    <row r="22" spans="1:7">
      <c r="A22" s="2"/>
      <c r="B22" s="2"/>
      <c r="C22" s="3"/>
      <c r="D22" s="2" t="s">
        <v>20</v>
      </c>
      <c r="E22" s="3">
        <f>IF(C22&gt;0, C22/3, 0)</f>
        <v>0</v>
      </c>
      <c r="F22" s="3">
        <f>IF(C22&gt;0, C22/3, 0)</f>
        <v>0</v>
      </c>
      <c r="G22" s="3">
        <f>IF(C22&gt;0, C22/3, 0)</f>
        <v>0</v>
      </c>
    </row>
    <row r="23" spans="1:7">
      <c r="A23" s="2"/>
      <c r="B23" s="2"/>
      <c r="C23" s="3"/>
      <c r="D23" s="2" t="s">
        <v>20</v>
      </c>
      <c r="E23" s="3">
        <f>IF(C23&gt;0, C23/3, 0)</f>
        <v>0</v>
      </c>
      <c r="F23" s="3">
        <f>IF(C23&gt;0, C23/3, 0)</f>
        <v>0</v>
      </c>
      <c r="G23" s="3">
        <f>IF(C23&gt;0, C23/3, 0)</f>
        <v>0</v>
      </c>
    </row>
    <row r="24" spans="1:7">
      <c r="A24" s="2"/>
      <c r="B24" s="2"/>
      <c r="C24" s="3"/>
      <c r="D24" s="2" t="s">
        <v>20</v>
      </c>
      <c r="E24" s="3">
        <f>IF(C24&gt;0, C24/3, 0)</f>
        <v>0</v>
      </c>
      <c r="F24" s="3">
        <f>IF(C24&gt;0, C24/3, 0)</f>
        <v>0</v>
      </c>
      <c r="G24" s="3">
        <f>IF(C24&gt;0, C24/3, 0)</f>
        <v>0</v>
      </c>
    </row>
    <row r="25" spans="1:7">
      <c r="A25" s="2"/>
      <c r="B25" s="2"/>
      <c r="C25" s="3"/>
      <c r="D25" s="2" t="s">
        <v>20</v>
      </c>
      <c r="E25" s="3">
        <f>IF(C25&gt;0, C25/3, 0)</f>
        <v>0</v>
      </c>
      <c r="F25" s="3">
        <f>IF(C25&gt;0, C25/3, 0)</f>
        <v>0</v>
      </c>
      <c r="G25" s="3">
        <f>IF(C25&gt;0, C25/3, 0)</f>
        <v>0</v>
      </c>
    </row>
    <row r="26" spans="1:7">
      <c r="A26" s="2"/>
      <c r="B26" s="2"/>
      <c r="C26" s="3"/>
      <c r="D26" s="2" t="s">
        <v>20</v>
      </c>
      <c r="E26" s="3">
        <f>IF(C26&gt;0, C26/3, 0)</f>
        <v>0</v>
      </c>
      <c r="F26" s="3">
        <f>IF(C26&gt;0, C26/3, 0)</f>
        <v>0</v>
      </c>
      <c r="G26" s="3">
        <f>IF(C26&gt;0, C26/3, 0)</f>
        <v>0</v>
      </c>
    </row>
    <row r="27" spans="1:7">
      <c r="A27" s="2"/>
      <c r="B27" s="2"/>
      <c r="C27" s="3"/>
      <c r="D27" s="2" t="s">
        <v>20</v>
      </c>
      <c r="E27" s="3">
        <f>IF(C27&gt;0, C27/3, 0)</f>
        <v>0</v>
      </c>
      <c r="F27" s="3">
        <f>IF(C27&gt;0, C27/3, 0)</f>
        <v>0</v>
      </c>
      <c r="G27" s="3">
        <f>IF(C27&gt;0, C27/3, 0)</f>
        <v>0</v>
      </c>
    </row>
    <row r="28" spans="1:7">
      <c r="A28" s="2"/>
      <c r="B28" s="2"/>
      <c r="C28" s="3"/>
      <c r="D28" s="2" t="s">
        <v>20</v>
      </c>
      <c r="E28" s="3">
        <f>IF(C28&gt;0, C28/3, 0)</f>
        <v>0</v>
      </c>
      <c r="F28" s="3">
        <f>IF(C28&gt;0, C28/3, 0)</f>
        <v>0</v>
      </c>
      <c r="G28" s="3">
        <f>IF(C28&gt;0, C28/3, 0)</f>
        <v>0</v>
      </c>
    </row>
    <row r="29" spans="1:7">
      <c r="A29" s="2"/>
      <c r="B29" s="2"/>
      <c r="C29" s="3"/>
      <c r="D29" s="2" t="s">
        <v>20</v>
      </c>
      <c r="E29" s="3">
        <f>IF(C29&gt;0, C29/3, 0)</f>
        <v>0</v>
      </c>
      <c r="F29" s="3">
        <f>IF(C29&gt;0, C29/3, 0)</f>
        <v>0</v>
      </c>
      <c r="G29" s="3">
        <f>IF(C29&gt;0, C29/3, 0)</f>
        <v>0</v>
      </c>
    </row>
    <row r="30" spans="1:7">
      <c r="A30" s="2"/>
      <c r="B30" s="2"/>
      <c r="C30" s="3"/>
      <c r="D30" s="2" t="s">
        <v>20</v>
      </c>
      <c r="E30" s="3">
        <f>IF(C30&gt;0, C30/3, 0)</f>
        <v>0</v>
      </c>
      <c r="F30" s="3">
        <f>IF(C30&gt;0, C30/3, 0)</f>
        <v>0</v>
      </c>
      <c r="G30" s="3">
        <f>IF(C30&gt;0, C30/3, 0)</f>
        <v>0</v>
      </c>
    </row>
    <row r="31" spans="1:7">
      <c r="A31" s="2"/>
      <c r="B31" s="2"/>
      <c r="C31" s="3"/>
      <c r="D31" s="2" t="s">
        <v>20</v>
      </c>
      <c r="E31" s="3">
        <f>IF(C31&gt;0, C31/3, 0)</f>
        <v>0</v>
      </c>
      <c r="F31" s="3">
        <f>IF(C31&gt;0, C31/3, 0)</f>
        <v>0</v>
      </c>
      <c r="G31" s="3">
        <f>IF(C31&gt;0, C31/3, 0)</f>
        <v>0</v>
      </c>
    </row>
    <row r="32" spans="1:7">
      <c r="A32" s="2"/>
      <c r="B32" s="2"/>
      <c r="C32" s="3"/>
      <c r="D32" s="2" t="s">
        <v>20</v>
      </c>
      <c r="E32" s="3">
        <f>IF(C32&gt;0, C32/3, 0)</f>
        <v>0</v>
      </c>
      <c r="F32" s="3">
        <f>IF(C32&gt;0, C32/3, 0)</f>
        <v>0</v>
      </c>
      <c r="G32" s="3">
        <f>IF(C32&gt;0, C32/3, 0)</f>
        <v>0</v>
      </c>
    </row>
    <row r="33" spans="1:7">
      <c r="A33" s="2"/>
      <c r="B33" s="2"/>
      <c r="C33" s="3"/>
      <c r="D33" s="2" t="s">
        <v>20</v>
      </c>
      <c r="E33" s="3">
        <f>IF(C33&gt;0, C33/3, 0)</f>
        <v>0</v>
      </c>
      <c r="F33" s="3">
        <f>IF(C33&gt;0, C33/3, 0)</f>
        <v>0</v>
      </c>
      <c r="G33" s="3">
        <f>IF(C33&gt;0, C33/3, 0)</f>
        <v>0</v>
      </c>
    </row>
    <row r="34" spans="1:7">
      <c r="A34" s="2"/>
      <c r="B34" s="2"/>
      <c r="C34" s="3"/>
      <c r="D34" s="2" t="s">
        <v>20</v>
      </c>
      <c r="E34" s="3">
        <f>IF(C34&gt;0, C34/3, 0)</f>
        <v>0</v>
      </c>
      <c r="F34" s="3">
        <f>IF(C34&gt;0, C34/3, 0)</f>
        <v>0</v>
      </c>
      <c r="G34" s="3">
        <f>IF(C34&gt;0, C34/3, 0)</f>
        <v>0</v>
      </c>
    </row>
    <row r="35" spans="1:7">
      <c r="A35" s="2"/>
      <c r="B35" s="2"/>
      <c r="C35" s="3"/>
      <c r="D35" s="2" t="s">
        <v>20</v>
      </c>
      <c r="E35" s="3">
        <f>IF(C35&gt;0, C35/3, 0)</f>
        <v>0</v>
      </c>
      <c r="F35" s="3">
        <f>IF(C35&gt;0, C35/3, 0)</f>
        <v>0</v>
      </c>
      <c r="G35" s="3">
        <f>IF(C35&gt;0, C35/3, 0)</f>
        <v>0</v>
      </c>
    </row>
    <row r="36" spans="1:7">
      <c r="A36" s="2"/>
      <c r="B36" s="2"/>
      <c r="C36" s="3"/>
      <c r="D36" s="2" t="s">
        <v>20</v>
      </c>
      <c r="E36" s="3">
        <f>IF(C36&gt;0, C36/3, 0)</f>
        <v>0</v>
      </c>
      <c r="F36" s="3">
        <f>IF(C36&gt;0, C36/3, 0)</f>
        <v>0</v>
      </c>
      <c r="G36" s="3">
        <f>IF(C36&gt;0, C36/3, 0)</f>
        <v>0</v>
      </c>
    </row>
    <row r="37" spans="1:7">
      <c r="A37" s="2"/>
      <c r="B37" s="2"/>
      <c r="C37" s="3"/>
      <c r="D37" s="2" t="s">
        <v>20</v>
      </c>
      <c r="E37" s="3">
        <f>IF(C37&gt;0, C37/3, 0)</f>
        <v>0</v>
      </c>
      <c r="F37" s="3">
        <f>IF(C37&gt;0, C37/3, 0)</f>
        <v>0</v>
      </c>
      <c r="G37" s="3">
        <f>IF(C37&gt;0, C37/3, 0)</f>
        <v>0</v>
      </c>
    </row>
    <row r="38" spans="1:7">
      <c r="A38" s="2"/>
      <c r="B38" s="2"/>
      <c r="C38" s="3"/>
      <c r="D38" s="2" t="s">
        <v>20</v>
      </c>
      <c r="E38" s="3">
        <f>IF(C38&gt;0, C38/3, 0)</f>
        <v>0</v>
      </c>
      <c r="F38" s="3">
        <f>IF(C38&gt;0, C38/3, 0)</f>
        <v>0</v>
      </c>
      <c r="G38" s="3">
        <f>IF(C38&gt;0, C38/3, 0)</f>
        <v>0</v>
      </c>
    </row>
    <row r="39" spans="1:7">
      <c r="A39" s="2"/>
      <c r="B39" s="2"/>
      <c r="C39" s="3"/>
      <c r="D39" s="2" t="s">
        <v>20</v>
      </c>
      <c r="E39" s="3">
        <f>IF(C39&gt;0, C39/3, 0)</f>
        <v>0</v>
      </c>
      <c r="F39" s="3">
        <f>IF(C39&gt;0, C39/3, 0)</f>
        <v>0</v>
      </c>
      <c r="G39" s="3">
        <f>IF(C39&gt;0, C39/3, 0)</f>
        <v>0</v>
      </c>
    </row>
    <row r="40" spans="1:7">
      <c r="A40" s="2"/>
      <c r="B40" s="2"/>
      <c r="C40" s="3"/>
      <c r="D40" s="2" t="s">
        <v>20</v>
      </c>
      <c r="E40" s="3">
        <f>IF(C40&gt;0, C40/3, 0)</f>
        <v>0</v>
      </c>
      <c r="F40" s="3">
        <f>IF(C40&gt;0, C40/3, 0)</f>
        <v>0</v>
      </c>
      <c r="G40" s="3">
        <f>IF(C40&gt;0, C40/3, 0)</f>
        <v>0</v>
      </c>
    </row>
    <row r="41" spans="1:7">
      <c r="A41" s="2"/>
      <c r="B41" s="2"/>
      <c r="C41" s="3"/>
      <c r="D41" s="2" t="s">
        <v>20</v>
      </c>
      <c r="E41" s="3">
        <f>IF(C41&gt;0, C41/3, 0)</f>
        <v>0</v>
      </c>
      <c r="F41" s="3">
        <f>IF(C41&gt;0, C41/3, 0)</f>
        <v>0</v>
      </c>
      <c r="G41" s="3">
        <f>IF(C41&gt;0, C41/3, 0)</f>
        <v>0</v>
      </c>
    </row>
    <row r="42" spans="1:7">
      <c r="A42" s="2"/>
      <c r="B42" s="2"/>
      <c r="C42" s="3"/>
      <c r="D42" s="2" t="s">
        <v>20</v>
      </c>
      <c r="E42" s="3">
        <f>IF(C42&gt;0, C42/3, 0)</f>
        <v>0</v>
      </c>
      <c r="F42" s="3">
        <f>IF(C42&gt;0, C42/3, 0)</f>
        <v>0</v>
      </c>
      <c r="G42" s="3">
        <f>IF(C42&gt;0, C42/3, 0)</f>
        <v>0</v>
      </c>
    </row>
    <row r="43" spans="1:7">
      <c r="A43" s="2"/>
      <c r="B43" s="2"/>
      <c r="C43" s="3"/>
      <c r="D43" s="2" t="s">
        <v>20</v>
      </c>
      <c r="E43" s="3">
        <f>IF(C43&gt;0, C43/3, 0)</f>
        <v>0</v>
      </c>
      <c r="F43" s="3">
        <f>IF(C43&gt;0, C43/3, 0)</f>
        <v>0</v>
      </c>
      <c r="G43" s="3">
        <f>IF(C43&gt;0, C43/3, 0)</f>
        <v>0</v>
      </c>
    </row>
    <row r="44" spans="1:7">
      <c r="A44" s="2"/>
      <c r="B44" s="2"/>
      <c r="C44" s="3"/>
      <c r="D44" s="2" t="s">
        <v>20</v>
      </c>
      <c r="E44" s="3">
        <f>IF(C44&gt;0, C44/3, 0)</f>
        <v>0</v>
      </c>
      <c r="F44" s="3">
        <f>IF(C44&gt;0, C44/3, 0)</f>
        <v>0</v>
      </c>
      <c r="G44" s="3">
        <f>IF(C44&gt;0, C44/3, 0)</f>
        <v>0</v>
      </c>
    </row>
    <row r="45" spans="1:7">
      <c r="A45" s="2"/>
      <c r="B45" s="2"/>
      <c r="C45" s="3"/>
      <c r="D45" s="2" t="s">
        <v>20</v>
      </c>
      <c r="E45" s="3">
        <f>IF(C45&gt;0, C45/3, 0)</f>
        <v>0</v>
      </c>
      <c r="F45" s="3">
        <f>IF(C45&gt;0, C45/3, 0)</f>
        <v>0</v>
      </c>
      <c r="G45" s="3">
        <f>IF(C45&gt;0, C45/3, 0)</f>
        <v>0</v>
      </c>
    </row>
    <row r="46" spans="1:7">
      <c r="A46" s="2"/>
      <c r="B46" s="2"/>
      <c r="C46" s="3"/>
      <c r="D46" s="2" t="s">
        <v>20</v>
      </c>
      <c r="E46" s="3">
        <f>IF(C46&gt;0, C46/3, 0)</f>
        <v>0</v>
      </c>
      <c r="F46" s="3">
        <f>IF(C46&gt;0, C46/3, 0)</f>
        <v>0</v>
      </c>
      <c r="G46" s="3">
        <f>IF(C46&gt;0, C46/3, 0)</f>
        <v>0</v>
      </c>
    </row>
    <row r="47" spans="1:7">
      <c r="A47" s="2"/>
      <c r="B47" s="2"/>
      <c r="C47" s="3"/>
      <c r="D47" s="2" t="s">
        <v>20</v>
      </c>
      <c r="E47" s="3">
        <f>IF(C47&gt;0, C47/3, 0)</f>
        <v>0</v>
      </c>
      <c r="F47" s="3">
        <f>IF(C47&gt;0, C47/3, 0)</f>
        <v>0</v>
      </c>
      <c r="G47" s="3">
        <f>IF(C47&gt;0, C47/3, 0)</f>
        <v>0</v>
      </c>
    </row>
    <row r="48" spans="1:7">
      <c r="A48" s="2"/>
      <c r="B48" s="2"/>
      <c r="C48" s="3"/>
      <c r="D48" s="2" t="s">
        <v>20</v>
      </c>
      <c r="E48" s="3">
        <f>IF(C48&gt;0, C48/3, 0)</f>
        <v>0</v>
      </c>
      <c r="F48" s="3">
        <f>IF(C48&gt;0, C48/3, 0)</f>
        <v>0</v>
      </c>
      <c r="G48" s="3">
        <f>IF(C48&gt;0, C48/3, 0)</f>
        <v>0</v>
      </c>
    </row>
    <row r="49" spans="1:7">
      <c r="A49" s="2"/>
      <c r="B49" s="2"/>
      <c r="C49" s="3"/>
      <c r="D49" s="2" t="s">
        <v>20</v>
      </c>
      <c r="E49" s="3">
        <f>IF(C49&gt;0, C49/3, 0)</f>
        <v>0</v>
      </c>
      <c r="F49" s="3">
        <f>IF(C49&gt;0, C49/3, 0)</f>
        <v>0</v>
      </c>
      <c r="G49" s="3">
        <f>IF(C49&gt;0, C49/3, 0)</f>
        <v>0</v>
      </c>
    </row>
    <row r="50" spans="1:7">
      <c r="A50" s="2"/>
      <c r="B50" s="2"/>
      <c r="C50" s="3"/>
      <c r="D50" s="2" t="s">
        <v>20</v>
      </c>
      <c r="E50" s="3">
        <f>IF(C50&gt;0, C50/3, 0)</f>
        <v>0</v>
      </c>
      <c r="F50" s="3">
        <f>IF(C50&gt;0, C50/3, 0)</f>
        <v>0</v>
      </c>
      <c r="G50" s="3">
        <f>IF(C50&gt;0, C50/3, 0)</f>
        <v>0</v>
      </c>
    </row>
    <row r="51" spans="1:7">
      <c r="A51" s="2"/>
      <c r="B51" s="2"/>
      <c r="C51" s="3"/>
      <c r="D51" s="2" t="s">
        <v>20</v>
      </c>
      <c r="E51" s="3">
        <f>IF(C51&gt;0, C51/3, 0)</f>
        <v>0</v>
      </c>
      <c r="F51" s="3">
        <f>IF(C51&gt;0, C51/3, 0)</f>
        <v>0</v>
      </c>
      <c r="G51" s="3">
        <f>IF(C51&gt;0, C51/3, 0)</f>
        <v>0</v>
      </c>
    </row>
  </sheetData>
  <dataValidations count="1">
    <dataValidation type="list" allowBlank="1" showInputMessage="1" showErrorMessage="1" sqref="D2:D51">
      <formula1>"Juano,Alberto,Mitchel"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2:E6"/>
  <sheetViews>
    <sheetView workbookViewId="0"/>
  </sheetViews>
  <sheetFormatPr defaultRowHeight="15"/>
  <cols>
    <col min="2" max="5" width="22.7109375" customWidth="1"/>
  </cols>
  <sheetData>
    <row r="2" spans="2:5">
      <c r="B2" s="4" t="s">
        <v>26</v>
      </c>
    </row>
    <row r="3" spans="2:5">
      <c r="B3" s="1" t="s">
        <v>21</v>
      </c>
      <c r="C3" s="1" t="s">
        <v>22</v>
      </c>
      <c r="D3" s="1" t="s">
        <v>23</v>
      </c>
      <c r="E3" s="1" t="s">
        <v>24</v>
      </c>
    </row>
    <row r="4" spans="2:5">
      <c r="B4" s="4" t="s">
        <v>13</v>
      </c>
      <c r="C4" s="3">
        <f>SUM(Registro_Comidas!K2:K51) + SUM(Gastos_Generales!E2:E51)</f>
        <v>0</v>
      </c>
      <c r="D4" s="3">
        <f>SUMIF(Registro_Comidas!$D$2:$D$51, "Juano", Registro_Comidas!$C$2:$C$51) + SUMIF(Gastos_Generales!$D$2:$D$51, "Juano", Gastos_Generales!$C$2:$C$51)</f>
        <v>0</v>
      </c>
      <c r="E4" s="3">
        <f>D4-C4</f>
        <v>0</v>
      </c>
    </row>
    <row r="5" spans="2:5">
      <c r="B5" s="4" t="s">
        <v>20</v>
      </c>
      <c r="C5" s="3">
        <f>SUM(Registro_Comidas!L2:L51) + SUM(Gastos_Generales!F2:F51)</f>
        <v>0</v>
      </c>
      <c r="D5" s="3">
        <f>SUMIF(Registro_Comidas!$D$2:$D$51, "Alberto", Registro_Comidas!$C$2:$C$51) + SUMIF(Gastos_Generales!$D$2:$D$51, "Alberto", Gastos_Generales!$C$2:$C$51)</f>
        <v>0</v>
      </c>
      <c r="E5" s="3">
        <f>D5-C5</f>
        <v>0</v>
      </c>
    </row>
    <row r="6" spans="2:5">
      <c r="B6" s="4" t="s">
        <v>25</v>
      </c>
      <c r="C6" s="3">
        <f>SUM(Registro_Comidas!M2:M51) + SUM(Gastos_Generales!G2:G51)</f>
        <v>0</v>
      </c>
      <c r="D6" s="3">
        <f>SUMIF(Registro_Comidas!$D$2:$D$51, "Mitchel", Registro_Comidas!$C$2:$C$51) + SUMIF(Gastos_Generales!$D$2:$D$51, "Mitchel", Gastos_Generales!$C$2:$C$51)</f>
        <v>0</v>
      </c>
      <c r="E6" s="3">
        <f>D6-C6</f>
        <v>0</v>
      </c>
    </row>
  </sheetData>
  <conditionalFormatting sqref="E4:E6">
    <cfRule type="cellIs" dxfId="0" priority="1" operator="lessThan">
      <formula>0</formula>
    </cfRule>
    <cfRule type="cellIs" dxfId="1" priority="2" operator="greaterThanOr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Registro_Comidas</vt:lpstr>
      <vt:lpstr>Gastos_Generales</vt:lpstr>
      <vt:lpstr>Resumen_Final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2026-01-21T21:59:03Z</dcterms:created>
  <dcterms:modified xsi:type="dcterms:W3CDTF">2026-01-21T21:59:03Z</dcterms:modified>
</cp:coreProperties>
</file>